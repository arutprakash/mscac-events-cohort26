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ut/repo/mscac-event-proposals-2026:27/002-board-game-nights/"/>
    </mc:Choice>
  </mc:AlternateContent>
  <xr:revisionPtr revIDLastSave="0" documentId="13_ncr:1_{9C4AB79F-A185-AD43-8EFC-D09C10F549D6}" xr6:coauthVersionLast="47" xr6:coauthVersionMax="47" xr10:uidLastSave="{00000000-0000-0000-0000-000000000000}"/>
  <bookViews>
    <workbookView xWindow="240" yWindow="500" windowWidth="33360" windowHeight="187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6" i="1"/>
  <c r="O6" i="1"/>
  <c r="P5" i="1"/>
  <c r="P4" i="1"/>
  <c r="P3" i="1"/>
  <c r="I5" i="1"/>
  <c r="J5" i="1"/>
  <c r="J6" i="1"/>
  <c r="J4" i="1"/>
  <c r="J3" i="1"/>
  <c r="J9" i="1" s="1"/>
  <c r="D6" i="1"/>
  <c r="D5" i="1"/>
  <c r="D4" i="1"/>
  <c r="D3" i="1"/>
  <c r="D9" i="1" l="1"/>
</calcChain>
</file>

<file path=xl/sharedStrings.xml><?xml version="1.0" encoding="utf-8"?>
<sst xmlns="http://schemas.openxmlformats.org/spreadsheetml/2006/main" count="51" uniqueCount="32">
  <si>
    <t>Cosmic Pizza</t>
  </si>
  <si>
    <t>Item</t>
  </si>
  <si>
    <t>Price</t>
  </si>
  <si>
    <t>No</t>
  </si>
  <si>
    <t>Total</t>
  </si>
  <si>
    <t>Reference</t>
  </si>
  <si>
    <t>Meal Type</t>
  </si>
  <si>
    <t>Chicken Delight Pizza (18Inch)</t>
  </si>
  <si>
    <t>Non Veg (Tandoori Chicken, Onions, Jalapeno Peppers &amp; Mozzarella Cheese)</t>
  </si>
  <si>
    <t>Classic Vegetarian Pizza (18Inch)</t>
  </si>
  <si>
    <t>Veg (Onions, Mushrooms, Green Peppers, Cooked Tomatoes &amp; Mozzarella Cheese)</t>
  </si>
  <si>
    <t>Pop Can</t>
  </si>
  <si>
    <t>Cool Drinks</t>
  </si>
  <si>
    <t>Tax / Delivery Estimate</t>
  </si>
  <si>
    <t xml:space="preserve">Total </t>
  </si>
  <si>
    <t>Fresca Pizza and Pasta</t>
  </si>
  <si>
    <t>Veg (Mushroom, green pepper, onions, tomatoes, extra cheese.)</t>
  </si>
  <si>
    <t xml:space="preserve">Pop </t>
  </si>
  <si>
    <t>Each served 3</t>
  </si>
  <si>
    <t>Serves - 4-5</t>
  </si>
  <si>
    <t>Pizza Nova</t>
  </si>
  <si>
    <t>Party - Canadian</t>
  </si>
  <si>
    <t>Party - Veggie</t>
  </si>
  <si>
    <t>Serves 4</t>
  </si>
  <si>
    <t>https://pizzanova.com/products/drinks</t>
  </si>
  <si>
    <t>Non Veg (
Regular Dough, Tomato Sauce, Mozzarella, Pepperoni, Bacon, Fresh Mushrooms)</t>
  </si>
  <si>
    <t>Veg (Regular Dough, Tomato Sauce, Mozzarella, Green Peppers, Fresh Mushrooms, Spanish Onions)</t>
  </si>
  <si>
    <t>CANADIAN SPECIAL</t>
  </si>
  <si>
    <t>Non Veg (Mozzarella cheese, bacon, ham, ground beef, pepperoni, mushrooms and Italian hot sausage.)</t>
  </si>
  <si>
    <t>ARRABBIATA (18")</t>
  </si>
  <si>
    <t>https://www.kingslice.ca/menu?location=Bloor+Street+West&amp;menu=pizza</t>
  </si>
  <si>
    <t>https://collegestreet.restaurantsolutions.ca/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</si>
</sst>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color rgb="FF1F2326"/>
      <name val="PingFang"/>
      <family val="2"/>
    </font>
    <font>
      <sz val="13"/>
      <color rgb="FF1F2326"/>
      <name val="PingFang"/>
      <family val="2"/>
    </font>
    <font>
      <b/>
      <sz val="13"/>
      <color rgb="FF1F2326"/>
      <name val="PingFang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legestreet.restaurantsolutions.ca/" TargetMode="External"/><Relationship Id="rId2" Type="http://schemas.openxmlformats.org/officeDocument/2006/relationships/hyperlink" Target="https://www.kingslice.ca/menu?location=Bloor+Street+West&amp;menu=pizza" TargetMode="External"/><Relationship Id="rId1" Type="http://schemas.openxmlformats.org/officeDocument/2006/relationships/hyperlink" Target="https://pizzanova.com/products/drin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tabSelected="1" workbookViewId="0">
      <selection activeCell="I13" sqref="I13"/>
    </sheetView>
  </sheetViews>
  <sheetFormatPr baseColWidth="10" defaultColWidth="8.83203125" defaultRowHeight="15"/>
  <cols>
    <col min="1" max="1" width="18" customWidth="1"/>
    <col min="2" max="4" width="10.83203125" customWidth="1"/>
    <col min="5" max="6" width="17.83203125" customWidth="1"/>
    <col min="7" max="7" width="26.83203125" bestFit="1" customWidth="1"/>
    <col min="8" max="10" width="10.83203125" customWidth="1"/>
    <col min="11" max="11" width="12.1640625" bestFit="1" customWidth="1"/>
    <col min="12" max="12" width="15.1640625" bestFit="1" customWidth="1"/>
    <col min="13" max="13" width="13.1640625" bestFit="1" customWidth="1"/>
    <col min="14" max="16" width="10.83203125" customWidth="1"/>
    <col min="17" max="17" width="12.83203125" bestFit="1" customWidth="1"/>
    <col min="18" max="18" width="12.33203125" bestFit="1" customWidth="1"/>
    <col min="19" max="100" width="10.83203125" customWidth="1"/>
  </cols>
  <sheetData>
    <row r="1" spans="1:100" ht="28" customHeight="1">
      <c r="A1" s="1" t="s">
        <v>0</v>
      </c>
      <c r="B1" s="2"/>
      <c r="C1" s="2"/>
      <c r="D1" s="2"/>
      <c r="E1" s="2"/>
      <c r="F1" s="2"/>
      <c r="G1" s="3" t="s">
        <v>15</v>
      </c>
      <c r="H1" s="2"/>
      <c r="I1" s="2"/>
      <c r="J1" s="2"/>
      <c r="K1" s="2"/>
      <c r="L1" s="2"/>
      <c r="M1" s="3" t="s">
        <v>20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0" ht="27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ht="231">
      <c r="A3" s="2" t="s">
        <v>7</v>
      </c>
      <c r="B3" s="2">
        <v>34.99</v>
      </c>
      <c r="C3" s="2">
        <v>2</v>
      </c>
      <c r="D3" s="2">
        <f>B3*C3</f>
        <v>69.98</v>
      </c>
      <c r="E3" s="6" t="s">
        <v>31</v>
      </c>
      <c r="F3" s="2" t="s">
        <v>8</v>
      </c>
      <c r="G3" s="4" t="s">
        <v>27</v>
      </c>
      <c r="H3" s="5">
        <v>28.25</v>
      </c>
      <c r="I3" s="2">
        <v>3</v>
      </c>
      <c r="J3" s="2">
        <f>H3*I3</f>
        <v>84.75</v>
      </c>
      <c r="K3" s="6" t="s">
        <v>30</v>
      </c>
      <c r="L3" s="2" t="s">
        <v>28</v>
      </c>
      <c r="M3" s="2" t="s">
        <v>21</v>
      </c>
      <c r="N3" s="2">
        <v>38.94</v>
      </c>
      <c r="O3" s="2">
        <v>2</v>
      </c>
      <c r="P3" s="2">
        <f>N3*O3</f>
        <v>77.88</v>
      </c>
      <c r="Q3" s="6" t="s">
        <v>24</v>
      </c>
      <c r="R3" s="2" t="s">
        <v>25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ht="135.75" customHeight="1">
      <c r="A4" s="2" t="s">
        <v>9</v>
      </c>
      <c r="B4" s="2">
        <v>34.99</v>
      </c>
      <c r="C4" s="2">
        <v>2</v>
      </c>
      <c r="D4" s="2">
        <f>B4*C4</f>
        <v>69.98</v>
      </c>
      <c r="E4" s="2" t="s">
        <v>19</v>
      </c>
      <c r="F4" s="2" t="s">
        <v>10</v>
      </c>
      <c r="G4" s="2" t="s">
        <v>29</v>
      </c>
      <c r="H4" s="5">
        <v>28.25</v>
      </c>
      <c r="I4" s="2">
        <v>3</v>
      </c>
      <c r="J4" s="2">
        <f>H4*I4</f>
        <v>84.75</v>
      </c>
      <c r="K4" s="2" t="s">
        <v>18</v>
      </c>
      <c r="L4" s="2" t="s">
        <v>16</v>
      </c>
      <c r="M4" s="2" t="s">
        <v>22</v>
      </c>
      <c r="N4" s="2">
        <v>38.090000000000003</v>
      </c>
      <c r="O4" s="2">
        <v>2</v>
      </c>
      <c r="P4" s="2">
        <f>N4*O4</f>
        <v>76.180000000000007</v>
      </c>
      <c r="Q4" s="2" t="s">
        <v>23</v>
      </c>
      <c r="R4" s="2" t="s">
        <v>26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ht="27" customHeight="1">
      <c r="A5" s="2" t="s">
        <v>11</v>
      </c>
      <c r="B5" s="2">
        <v>2.25</v>
      </c>
      <c r="C5" s="2">
        <v>20</v>
      </c>
      <c r="D5" s="2">
        <f>B5*C5</f>
        <v>45</v>
      </c>
      <c r="E5" s="2"/>
      <c r="F5" s="2" t="s">
        <v>12</v>
      </c>
      <c r="G5" s="2" t="s">
        <v>17</v>
      </c>
      <c r="H5" s="2">
        <v>1.25</v>
      </c>
      <c r="I5" s="2">
        <f>20</f>
        <v>20</v>
      </c>
      <c r="J5" s="2">
        <f>H5*I5</f>
        <v>25</v>
      </c>
      <c r="K5" s="2"/>
      <c r="L5" s="2" t="s">
        <v>12</v>
      </c>
      <c r="M5" s="2" t="s">
        <v>11</v>
      </c>
      <c r="N5" s="2">
        <v>1.99</v>
      </c>
      <c r="O5" s="2">
        <v>20</v>
      </c>
      <c r="P5" s="2">
        <f>N5*O5</f>
        <v>39.799999999999997</v>
      </c>
      <c r="Q5" s="2"/>
      <c r="R5" s="2" t="s">
        <v>12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ht="34.5" customHeight="1">
      <c r="A6" s="2" t="s">
        <v>13</v>
      </c>
      <c r="B6" s="2">
        <v>20</v>
      </c>
      <c r="C6" s="2">
        <v>1</v>
      </c>
      <c r="D6" s="2">
        <f>B6*C6+D7+D7</f>
        <v>20</v>
      </c>
      <c r="E6" s="2"/>
      <c r="G6" s="2" t="s">
        <v>13</v>
      </c>
      <c r="H6" s="2">
        <v>20</v>
      </c>
      <c r="I6" s="2">
        <v>1</v>
      </c>
      <c r="J6" s="2">
        <f>H6*I6+I7+I7</f>
        <v>20</v>
      </c>
      <c r="K6" s="2"/>
      <c r="L6" s="2" t="s">
        <v>13</v>
      </c>
      <c r="M6" s="2">
        <v>20</v>
      </c>
      <c r="N6" s="2">
        <v>1</v>
      </c>
      <c r="O6" s="2">
        <f>M6*N6+O7+O7</f>
        <v>20</v>
      </c>
      <c r="P6" s="2">
        <f>O6*N6</f>
        <v>20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27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ht="27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ht="27" customHeight="1">
      <c r="A9" s="2" t="s">
        <v>14</v>
      </c>
      <c r="B9" s="2"/>
      <c r="C9" s="2"/>
      <c r="D9" s="2">
        <f>SUM(D3:D8)</f>
        <v>204.96</v>
      </c>
      <c r="E9" s="2"/>
      <c r="F9" s="2"/>
      <c r="G9" s="2" t="s">
        <v>4</v>
      </c>
      <c r="H9" s="2"/>
      <c r="I9" s="2"/>
      <c r="J9" s="2">
        <f>SUM(J3:J6)</f>
        <v>214.5</v>
      </c>
      <c r="K9" s="2"/>
      <c r="L9" s="2" t="s">
        <v>4</v>
      </c>
      <c r="M9" s="2"/>
      <c r="N9" s="2"/>
      <c r="O9" s="2"/>
      <c r="P9" s="2">
        <f>SUM(P3:P6)</f>
        <v>213.86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ht="2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ht="27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ht="27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ht="27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ht="27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ht="2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ht="27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ht="27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ht="2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ht="27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ht="27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ht="27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ht="27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ht="27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ht="27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ht="27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ht="27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ht="2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ht="27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ht="27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ht="27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ht="27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ht="27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ht="27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ht="27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ht="27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ht="27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ht="27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ht="27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ht="27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ht="27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ht="27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ht="27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ht="27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ht="27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ht="27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ht="27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ht="27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ht="27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ht="27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ht="27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ht="27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ht="27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ht="27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ht="27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ht="27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ht="27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ht="27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ht="27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ht="27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ht="27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ht="27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ht="27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ht="27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ht="27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ht="27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ht="27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ht="27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ht="27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ht="27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ht="27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ht="27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ht="27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ht="2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</sheetData>
  <hyperlinks>
    <hyperlink ref="Q3" r:id="rId1" xr:uid="{110E2199-DBC2-DA4E-A972-BA895550E106}"/>
    <hyperlink ref="K3" r:id="rId2" xr:uid="{080C8070-31B2-7F4C-A586-4FCDAD5776EE}"/>
    <hyperlink ref="E3" r:id="rId3" xr:uid="{0884733D-ACAA-3444-A1C8-681B7F3DFD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00"/>
  <sheetViews>
    <sheetView workbookViewId="0"/>
  </sheetViews>
  <sheetFormatPr baseColWidth="10" defaultColWidth="8.83203125" defaultRowHeight="15"/>
  <cols>
    <col min="1" max="100" width="10.83203125" customWidth="1"/>
  </cols>
  <sheetData>
    <row r="1" spans="1:100" ht="27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0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ht="27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ht="27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ht="27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27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ht="27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ht="27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ht="2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ht="27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ht="27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ht="27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ht="27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ht="2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ht="27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ht="27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ht="2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ht="27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ht="27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ht="27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ht="27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ht="27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ht="27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ht="27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ht="27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ht="2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ht="27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ht="27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ht="27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ht="27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ht="27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ht="27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ht="27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ht="27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ht="27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ht="27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ht="27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ht="27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ht="27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ht="27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ht="27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ht="27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ht="27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ht="27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ht="27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ht="27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ht="27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ht="27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ht="27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ht="27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ht="27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ht="27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ht="27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ht="27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ht="27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ht="27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ht="27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ht="27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ht="27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ht="27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ht="27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ht="27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ht="27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ht="27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ht="27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ht="27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ht="27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ht="27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ht="27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ht="27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ht="27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ht="2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100"/>
  <sheetViews>
    <sheetView workbookViewId="0"/>
  </sheetViews>
  <sheetFormatPr baseColWidth="10" defaultColWidth="8.83203125" defaultRowHeight="15"/>
  <cols>
    <col min="1" max="100" width="10.83203125" customWidth="1"/>
  </cols>
  <sheetData>
    <row r="1" spans="1:100" ht="27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0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ht="27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ht="27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ht="27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27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ht="27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ht="27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ht="2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ht="27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ht="27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ht="27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ht="27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ht="2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ht="27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ht="27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ht="2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ht="27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ht="27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ht="27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ht="27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ht="27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ht="27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ht="27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ht="27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ht="2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ht="27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ht="27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ht="27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ht="27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ht="27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ht="27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ht="27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ht="27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ht="27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ht="27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ht="27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ht="27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ht="27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ht="27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ht="27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ht="27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ht="27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ht="27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ht="27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ht="27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ht="27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ht="27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ht="27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ht="27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ht="27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ht="27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ht="27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ht="27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ht="27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ht="27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ht="27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ht="27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ht="27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ht="27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ht="27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ht="27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ht="27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ht="27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ht="27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ht="27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ht="27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ht="27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ht="27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ht="27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ht="27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ht="2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Arut Prakash Sridhar</cp:lastModifiedBy>
  <dcterms:created xsi:type="dcterms:W3CDTF">2026-08-31T19:48:51Z</dcterms:created>
  <dcterms:modified xsi:type="dcterms:W3CDTF">2026-09-07T21:37:09Z</dcterms:modified>
</cp:coreProperties>
</file>